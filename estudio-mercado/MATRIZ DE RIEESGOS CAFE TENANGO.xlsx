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Users\sanch\Downloads\"/>
    </mc:Choice>
  </mc:AlternateContent>
  <xr:revisionPtr revIDLastSave="0" documentId="8_{DB45AFA4-5156-4412-9D5A-C4300010F05C}" xr6:coauthVersionLast="47" xr6:coauthVersionMax="47" xr10:uidLastSave="{00000000-0000-0000-0000-000000000000}"/>
  <bookViews>
    <workbookView xWindow="-108" yWindow="-108" windowWidth="23256" windowHeight="12456" activeTab="3" xr2:uid="{19715C03-100E-43AE-A6B8-1564D5C9293C}"/>
  </bookViews>
  <sheets>
    <sheet name="Riesgos  Mercado" sheetId="2" r:id="rId1"/>
    <sheet name="Riesgos tecnicos " sheetId="1" r:id="rId2"/>
    <sheet name="Riesgos legal " sheetId="3" r:id="rId3"/>
    <sheet name="Riesgos Financieros " sheetId="4" r:id="rId4"/>
  </sheets>
  <definedNames>
    <definedName name="_xlnm._FilterDatabase" localSheetId="1" hidden="1">'Riesgos tecnicos '!$G$1:$M$9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E7" i="4"/>
  <c r="J2" i="4" s="1"/>
  <c r="D7" i="4"/>
  <c r="J5" i="4" s="1"/>
  <c r="C7" i="4"/>
  <c r="E6" i="4"/>
  <c r="D6" i="4"/>
  <c r="J6" i="4" s="1"/>
  <c r="C6" i="4"/>
  <c r="E5" i="4"/>
  <c r="D5" i="4"/>
  <c r="C5" i="4"/>
  <c r="J4" i="4"/>
  <c r="E7" i="3"/>
  <c r="J2" i="3" s="1"/>
  <c r="D7" i="3"/>
  <c r="J5" i="3" s="1"/>
  <c r="C7" i="3"/>
  <c r="E6" i="3"/>
  <c r="D6" i="3"/>
  <c r="J6" i="3" s="1"/>
  <c r="C6" i="3"/>
  <c r="E5" i="3"/>
  <c r="D5" i="3"/>
  <c r="C5" i="3"/>
  <c r="J3" i="3"/>
  <c r="J10" i="2"/>
  <c r="E7" i="2"/>
  <c r="D7" i="2"/>
  <c r="J5" i="2" s="1"/>
  <c r="C7" i="2"/>
  <c r="E6" i="2"/>
  <c r="J4" i="2" s="1"/>
  <c r="D6" i="2"/>
  <c r="J6" i="2" s="1"/>
  <c r="C6" i="2"/>
  <c r="E5" i="2"/>
  <c r="J8" i="2" s="1"/>
  <c r="D5" i="2"/>
  <c r="C5" i="2"/>
  <c r="J2" i="2"/>
  <c r="J2" i="1"/>
  <c r="J10" i="1"/>
  <c r="J9" i="1"/>
  <c r="J8" i="1"/>
  <c r="E7" i="1"/>
  <c r="J7" i="1" s="1"/>
  <c r="D7" i="1"/>
  <c r="C7" i="1"/>
  <c r="J6" i="1"/>
  <c r="E6" i="1"/>
  <c r="D6" i="1"/>
  <c r="C6" i="1"/>
  <c r="J5" i="1"/>
  <c r="E5" i="1"/>
  <c r="J11" i="1" s="1"/>
  <c r="D5" i="1"/>
  <c r="C5" i="1"/>
  <c r="J4" i="1"/>
  <c r="J3" i="1"/>
  <c r="J3" i="4" l="1"/>
  <c r="J7" i="2"/>
  <c r="J3" i="2"/>
  <c r="J9" i="2"/>
  <c r="J8" i="4"/>
  <c r="J7" i="4"/>
  <c r="J4" i="3"/>
  <c r="J7" i="3"/>
  <c r="J8" i="3"/>
</calcChain>
</file>

<file path=xl/sharedStrings.xml><?xml version="1.0" encoding="utf-8"?>
<sst xmlns="http://schemas.openxmlformats.org/spreadsheetml/2006/main" count="233" uniqueCount="96">
  <si>
    <t>Descripción</t>
  </si>
  <si>
    <t>Probabilidad</t>
  </si>
  <si>
    <t>Impacto</t>
  </si>
  <si>
    <t>Severidad</t>
  </si>
  <si>
    <t>Acciones de mitigación</t>
  </si>
  <si>
    <t>Responsable</t>
  </si>
  <si>
    <t>Fecha</t>
  </si>
  <si>
    <t>Alta</t>
  </si>
  <si>
    <t>Baja</t>
  </si>
  <si>
    <t>Media</t>
  </si>
  <si>
    <t>Bajo</t>
  </si>
  <si>
    <t>Medio</t>
  </si>
  <si>
    <t>Administrador</t>
  </si>
  <si>
    <t>Falla del tostador por sobrecalentamiento o desgaste mecánico.</t>
  </si>
  <si>
    <t>ImplementImplementar mantenimiento preventivo mensual y revisión anual con técnico especializado.ar mantenimiento preventivo y capacitación técnica al personal operativo.</t>
  </si>
  <si>
    <t xml:space="preserve">Jefe de produccion </t>
  </si>
  <si>
    <t>Calibración incorrecta del molino que genera inconsistencias en el tamaño de partícula.</t>
  </si>
  <si>
    <t>Registrar cada ajuste del molino y capacitar al operador en protocolos estandarizados de molienda.</t>
  </si>
  <si>
    <t xml:space="preserve">Operador de molino </t>
  </si>
  <si>
    <t>Contaminación del grano por humedad durante el almacenamiento.</t>
  </si>
  <si>
    <t>Instalar deshumidificadores, usar costales herméticos y monitorear humedad relativa semanalmente.</t>
  </si>
  <si>
    <t>Variación del perfil de tueste por mala gestión del control de temperatura.</t>
  </si>
  <si>
    <t>Implementar bitácoras de curvas de tueste por lote y capacitar en control térmico.</t>
  </si>
  <si>
    <t>Pérdida de grano por aparición de plagas (gorgojo) o mala manipulación.</t>
  </si>
  <si>
    <t>Realizar fumigación preventiva y aplicar el sistema FIFO en todo almacenamiento.</t>
  </si>
  <si>
    <t xml:space="preserve">Encargado de lamcen </t>
  </si>
  <si>
    <t xml:space="preserve">Maestro tostador </t>
  </si>
  <si>
    <t>01/04/202</t>
  </si>
  <si>
    <t>Falta de espacio adecuado para almacenar café verde y café tostado.</t>
  </si>
  <si>
    <t>Rentar o habilitar un área exclusiva con control de temperatura y humedad</t>
  </si>
  <si>
    <t>Riesgos de quemaduras por contacto con tambor caliente o bandejas del tostador.</t>
  </si>
  <si>
    <t>Entregar equipo de protección térmica y colocar señalización visible.</t>
  </si>
  <si>
    <t>jefe de seguridad</t>
  </si>
  <si>
    <t>Corto circuito en maquinaria por instalación eléctrica inadecuada o sobrecarga.</t>
  </si>
  <si>
    <t>Revisar instalación eléctrica trimestralmente y utilizar reguladores estabilizadores.</t>
  </si>
  <si>
    <t>tecnico</t>
  </si>
  <si>
    <t>Pérdida de frescura del café por falta de control en rotación de inventario.</t>
  </si>
  <si>
    <t>Establecer rotación FIFO y registrar entradas y salidas por lote en el sistema.</t>
  </si>
  <si>
    <t>Variabilidad en la calidad del grano debido a cambios climáticos en la zona productora.</t>
  </si>
  <si>
    <t>Realizar pruebas de cata por lote, ajustar el perfil de tueste y diversificar proveedores locales.</t>
  </si>
  <si>
    <t>Disminución de la demanda por cambios en las preferencias del consumidor hacia bebidas alternativas.</t>
  </si>
  <si>
    <t>Aumento de la competencia local de marcas de café artesanal y microtostadores.</t>
  </si>
  <si>
    <t>Dificultad para posicionar el café de especialidad en mercados donde el consumidor prefiere productos económicos.</t>
  </si>
  <si>
    <t>Saturación del mercado regional con productos similares que reduzcan la cuota de mercado.</t>
  </si>
  <si>
    <t>Variación en el precio del café verde que incremente costos y afecte competitividad.</t>
  </si>
  <si>
    <t xml:space="preserve">Bajo reconocimiento de la marca en mercados fuera de Tenango, Rio blanvco. </t>
  </si>
  <si>
    <t>Dependencia de pocos puntos de venta físicos, generando vulnerabilidad comercial.</t>
  </si>
  <si>
    <t>Estacionalidad en el consumo que provoque bajas ventas en ciertos meses</t>
  </si>
  <si>
    <t>Riesgo de percepción negativa del precio debido a comparación con café comercial de bajo costo.</t>
  </si>
  <si>
    <t>Cambios en tendencias de consumo hacia productos más sostenibles que puedan exigir certificaciones no disponibles.</t>
  </si>
  <si>
    <t>Realizar estudios de mercado trimestrales y diversificar la oferta (cold brew, mezclas, ediciones especiales).</t>
  </si>
  <si>
    <t>Fortalecer identidad de marca y realizar campañas de diferenciación basadas en origen y proceso.</t>
  </si>
  <si>
    <t>Crear estrategias educativas sobre calidad y origen del café; ofrecer presentaciones pequeñas.</t>
  </si>
  <si>
    <t>Expandir presencia a nuevos municipios y explorar venta en línea.</t>
  </si>
  <si>
    <t>Diversificar proveedores y establecer acuerdos de compra semestrales a precio fijo.</t>
  </si>
  <si>
    <t>Implementar estrategia digital y alianzas con cafeterías regionales.</t>
  </si>
  <si>
    <t>Expandir distribución con tiendas locales, mercados artesanales y plataformas de e-commerce.</t>
  </si>
  <si>
    <t>Crear promociones estacionales y productos adaptados (verano/invierno).</t>
  </si>
  <si>
    <t>Enfatizar valor agregado: origen, proceso, frescura, tostado artesanal; hacer catas demostrativas.</t>
  </si>
  <si>
    <t>Implementar prácticas sostenibles internas y obtener certificaciones progresivas.</t>
  </si>
  <si>
    <t>Publicidad</t>
  </si>
  <si>
    <t>febrar 2026</t>
  </si>
  <si>
    <t xml:space="preserve">Ventas </t>
  </si>
  <si>
    <t xml:space="preserve">Compras </t>
  </si>
  <si>
    <t xml:space="preserve">Jefe general </t>
  </si>
  <si>
    <t>Incumplimiento de la NOM-051-SCFI/SSA1 sobre etiquetado de alimentos y bebidas.</t>
  </si>
  <si>
    <t>Falta de cumplimiento de la NOM-251-SSA1 sobre prácticas de higiene en el proceso de tostado y empaque.</t>
  </si>
  <si>
    <t>Ausencia de registro de la marca “Café Tenango” ante el IMPI que pueda generar conflictos legales.</t>
  </si>
  <si>
    <t>Riesgo de sanciones fiscales por errores en facturación o declaraciones mensuales.</t>
  </si>
  <si>
    <t>Contratos informales con proveedores de café que generen disputas por precios o entregas.</t>
  </si>
  <si>
    <t>Incumplimiento de permisos municipales de operación para actividades comerciales o productivas.</t>
  </si>
  <si>
    <t>Riesgos laborales por falta de contratos, altas al IMSS o cumplimiento de obligaciones patronales.</t>
  </si>
  <si>
    <t>Revisar etiquetas con asesor legal y actualizar información nutrimental y comercial conforme a la norma vigente.</t>
  </si>
  <si>
    <t>Implementar manual de buenas prácticas, capacitar al personal y auditar cada trimestre la planta.</t>
  </si>
  <si>
    <t>Iniciar trámite de registro de marca y proteger logotipo, nombre y elementos gráficos.</t>
  </si>
  <si>
    <t>Contratar asesoría contable externa y establecer calendario de declaraciones y obligaciones.</t>
  </si>
  <si>
    <t>Elaborar contratos simples que establezcan precios, calidad, tiempos y cantidades.</t>
  </si>
  <si>
    <t>Renovar licencias municipales anualmente y mantener documentación vigente en sitio visible.</t>
  </si>
  <si>
    <t>Formalizar contratos y regularizar obligaciones laborales conforme a la Ley Federal del Trabajo.</t>
  </si>
  <si>
    <t xml:space="preserve">jefe prodccion </t>
  </si>
  <si>
    <t xml:space="preserve">jefe general </t>
  </si>
  <si>
    <t>Compras</t>
  </si>
  <si>
    <t>Incremento del precio del café verde que eleve el costo total de producción.</t>
  </si>
  <si>
    <t>Falta de liquidez por retrasos en ventas o baja rotación del inventario.</t>
  </si>
  <si>
    <t>Variaciones en el tipo de cambio que encarezcan insumos o maquinaria importada.</t>
  </si>
  <si>
    <t>Aumento de costos fijos (luz, renta, servicios) que reduzca el margen operativo.</t>
  </si>
  <si>
    <t>Errores en la estimación de costos unitarios que afecten la rentabilidad del precio de venta</t>
  </si>
  <si>
    <t>Dificultad para acceder a financiamiento para ampliar capacidad instalada</t>
  </si>
  <si>
    <t>Pérdida financiera por obsolescencia o deterioro rápido de maquinaria.</t>
  </si>
  <si>
    <t>Diversificar proveedores y establecer contratos semestrales de precio fijo.</t>
  </si>
  <si>
    <t>mplementar fondo de reserva, controlar días de inventario y reforzar estrategias de venta.</t>
  </si>
  <si>
    <t>Anticipar compras, usar proveedores nacionales y evaluar coberturas cambiarias.</t>
  </si>
  <si>
    <t>Optimizar consumo energético, negociar contratos y reducir gastos no esenciales.</t>
  </si>
  <si>
    <t>Revisar mensualmente costos variables y recalcular precios con base en el margen objetivo.</t>
  </si>
  <si>
    <t>Preparar proyecciones financieras sólidas y fortalecer historial crediticio.</t>
  </si>
  <si>
    <t>mplementar programa de depreciación, mantenimiento preventivo y fondo para reposición.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</si>
</sst>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1" applyNumberFormat="0" applyFill="0" applyAlignment="0" applyProtection="0"/>
    <xf numFmtId="0" fontId="3" fillId="0" borderId="2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3" xfId="2" applyBorder="1" applyAlignment="1">
      <alignment horizontal="center" vertical="center" wrapText="1"/>
    </xf>
    <xf numFmtId="0" fontId="3" fillId="0" borderId="3" xfId="2" applyBorder="1" applyAlignment="1">
      <alignment horizontal="center" vertical="center"/>
    </xf>
    <xf numFmtId="0" fontId="3" fillId="0" borderId="3" xfId="2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4" fillId="0" borderId="3" xfId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3" xfId="2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</cellXfs>
  <cellStyles count="3">
    <cellStyle name="Normal" xfId="0" builtinId="0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7855-CB52-44F8-ABB0-1D8297B0650C}">
  <dimension ref="A1:M11"/>
  <sheetViews>
    <sheetView topLeftCell="B1" workbookViewId="0">
      <selection activeCell="K13" sqref="K13"/>
    </sheetView>
  </sheetViews>
  <sheetFormatPr baseColWidth="10" defaultRowHeight="14.4"/>
  <cols>
    <col min="5" max="5" width="4.21875" bestFit="1" customWidth="1"/>
    <col min="7" max="7" width="49.21875" customWidth="1"/>
    <col min="8" max="8" width="10.5546875" bestFit="1" customWidth="1"/>
    <col min="9" max="9" width="8" bestFit="1" customWidth="1"/>
    <col min="10" max="10" width="9.33203125" bestFit="1" customWidth="1"/>
    <col min="11" max="11" width="47.21875" customWidth="1"/>
    <col min="12" max="12" width="12.5546875" customWidth="1"/>
  </cols>
  <sheetData>
    <row r="1" spans="1:13" ht="28.8">
      <c r="A1" s="19"/>
      <c r="B1" s="20"/>
      <c r="C1" s="19"/>
      <c r="D1" s="19"/>
      <c r="E1" s="19"/>
      <c r="F1" s="19"/>
      <c r="G1" s="2" t="s">
        <v>0</v>
      </c>
      <c r="H1" s="2" t="s">
        <v>1</v>
      </c>
      <c r="I1" s="2" t="s">
        <v>2</v>
      </c>
      <c r="J1" s="2" t="s">
        <v>3</v>
      </c>
      <c r="K1" s="21" t="s">
        <v>4</v>
      </c>
      <c r="L1" s="21" t="s">
        <v>5</v>
      </c>
      <c r="M1" s="21" t="s">
        <v>6</v>
      </c>
    </row>
    <row r="2" spans="1:13" ht="28.8">
      <c r="A2" s="19"/>
      <c r="B2" s="20"/>
      <c r="C2" s="22" t="s">
        <v>1</v>
      </c>
      <c r="D2" s="22"/>
      <c r="E2" s="22"/>
      <c r="F2" s="19"/>
      <c r="G2" s="28" t="s">
        <v>40</v>
      </c>
      <c r="H2" s="5" t="s">
        <v>9</v>
      </c>
      <c r="I2" s="5" t="s">
        <v>7</v>
      </c>
      <c r="J2" s="5">
        <f>INDEX($C$5:$E$7,MATCH(H2,$C$3:$E$3,0),MATCH(I2,$A$5:$A$7,0))</f>
        <v>8</v>
      </c>
      <c r="K2" s="28" t="s">
        <v>50</v>
      </c>
      <c r="L2" s="28" t="s">
        <v>60</v>
      </c>
      <c r="M2" s="23">
        <v>46235</v>
      </c>
    </row>
    <row r="3" spans="1:13" ht="28.8">
      <c r="A3" s="19"/>
      <c r="B3" s="20"/>
      <c r="C3" s="24" t="s">
        <v>8</v>
      </c>
      <c r="D3" s="24" t="s">
        <v>9</v>
      </c>
      <c r="E3" s="24" t="s">
        <v>7</v>
      </c>
      <c r="F3" s="19"/>
      <c r="G3" s="30" t="s">
        <v>41</v>
      </c>
      <c r="H3" s="5" t="s">
        <v>8</v>
      </c>
      <c r="I3" s="5" t="s">
        <v>7</v>
      </c>
      <c r="J3" s="5">
        <f t="shared" ref="J3:J11" si="0">INDEX($C$5:$E$7,MATCH(H3,$C$3:$E$3,0),MATCH(I3,$A$5:$A$7,0))</f>
        <v>6</v>
      </c>
      <c r="K3" s="28" t="s">
        <v>51</v>
      </c>
      <c r="L3" s="28" t="s">
        <v>62</v>
      </c>
      <c r="M3" s="29" t="s">
        <v>61</v>
      </c>
    </row>
    <row r="4" spans="1:13" ht="43.2">
      <c r="A4" s="22" t="s">
        <v>2</v>
      </c>
      <c r="B4" s="22"/>
      <c r="C4" s="24">
        <v>1</v>
      </c>
      <c r="D4" s="24">
        <v>3</v>
      </c>
      <c r="E4" s="24">
        <v>5</v>
      </c>
      <c r="F4" s="19"/>
      <c r="G4" s="28" t="s">
        <v>42</v>
      </c>
      <c r="H4" s="5" t="s">
        <v>9</v>
      </c>
      <c r="I4" s="5" t="s">
        <v>7</v>
      </c>
      <c r="J4" s="5">
        <f t="shared" si="0"/>
        <v>8</v>
      </c>
      <c r="K4" s="28" t="s">
        <v>52</v>
      </c>
      <c r="L4" s="28" t="s">
        <v>62</v>
      </c>
      <c r="M4" s="23">
        <v>46143</v>
      </c>
    </row>
    <row r="5" spans="1:13" ht="28.8">
      <c r="A5" s="26" t="s">
        <v>10</v>
      </c>
      <c r="B5" s="26">
        <v>1</v>
      </c>
      <c r="C5" s="27">
        <f>C4+$B$5</f>
        <v>2</v>
      </c>
      <c r="D5" s="27">
        <f t="shared" ref="D5:E5" si="1">D4+$B$5</f>
        <v>4</v>
      </c>
      <c r="E5" s="27">
        <f t="shared" si="1"/>
        <v>6</v>
      </c>
      <c r="F5" s="19"/>
      <c r="G5" s="28" t="s">
        <v>43</v>
      </c>
      <c r="H5" s="5" t="s">
        <v>8</v>
      </c>
      <c r="I5" s="5" t="s">
        <v>11</v>
      </c>
      <c r="J5" s="5">
        <f t="shared" si="0"/>
        <v>4</v>
      </c>
      <c r="K5" s="28" t="s">
        <v>53</v>
      </c>
      <c r="L5" s="28" t="s">
        <v>60</v>
      </c>
      <c r="M5" s="23">
        <v>46023</v>
      </c>
    </row>
    <row r="6" spans="1:13" ht="28.8">
      <c r="A6" s="26" t="s">
        <v>11</v>
      </c>
      <c r="B6" s="26">
        <v>3</v>
      </c>
      <c r="C6" s="27">
        <f>C4+$B$6</f>
        <v>4</v>
      </c>
      <c r="D6" s="27">
        <f t="shared" ref="D6:E6" si="2">D4+$B$6</f>
        <v>6</v>
      </c>
      <c r="E6" s="27">
        <f t="shared" si="2"/>
        <v>8</v>
      </c>
      <c r="F6" s="19"/>
      <c r="G6" s="28" t="s">
        <v>44</v>
      </c>
      <c r="H6" s="5" t="s">
        <v>8</v>
      </c>
      <c r="I6" s="5" t="s">
        <v>11</v>
      </c>
      <c r="J6" s="5">
        <f t="shared" si="0"/>
        <v>4</v>
      </c>
      <c r="K6" s="28" t="s">
        <v>54</v>
      </c>
      <c r="L6" s="28" t="s">
        <v>63</v>
      </c>
      <c r="M6" s="23">
        <v>46113</v>
      </c>
    </row>
    <row r="7" spans="1:13" ht="28.8">
      <c r="A7" s="26" t="s">
        <v>7</v>
      </c>
      <c r="B7" s="26">
        <v>5</v>
      </c>
      <c r="C7" s="27">
        <f>C4+$B$7</f>
        <v>6</v>
      </c>
      <c r="D7" s="27">
        <f t="shared" ref="D7:E7" si="3">D4+$B$7</f>
        <v>8</v>
      </c>
      <c r="E7" s="27">
        <f t="shared" si="3"/>
        <v>10</v>
      </c>
      <c r="F7" s="19"/>
      <c r="G7" s="28" t="s">
        <v>45</v>
      </c>
      <c r="H7" s="5" t="s">
        <v>9</v>
      </c>
      <c r="I7" s="5" t="s">
        <v>11</v>
      </c>
      <c r="J7" s="5">
        <f t="shared" si="0"/>
        <v>6</v>
      </c>
      <c r="K7" s="28" t="s">
        <v>55</v>
      </c>
      <c r="L7" s="5" t="s">
        <v>12</v>
      </c>
      <c r="M7" s="23">
        <v>46143</v>
      </c>
    </row>
    <row r="8" spans="1:13" ht="28.8">
      <c r="A8" s="19"/>
      <c r="B8" s="20"/>
      <c r="C8" s="19"/>
      <c r="D8" s="19"/>
      <c r="E8" s="19"/>
      <c r="F8" s="19"/>
      <c r="G8" s="28" t="s">
        <v>46</v>
      </c>
      <c r="H8" s="5" t="s">
        <v>9</v>
      </c>
      <c r="I8" s="5" t="s">
        <v>11</v>
      </c>
      <c r="J8" s="5">
        <f t="shared" si="0"/>
        <v>6</v>
      </c>
      <c r="K8" s="28" t="s">
        <v>56</v>
      </c>
      <c r="L8" s="28" t="s">
        <v>12</v>
      </c>
      <c r="M8" s="23">
        <v>46204</v>
      </c>
    </row>
    <row r="9" spans="1:13" ht="28.8">
      <c r="A9" s="19"/>
      <c r="B9" s="20"/>
      <c r="C9" s="19"/>
      <c r="D9" s="19"/>
      <c r="E9" s="19"/>
      <c r="F9" s="19"/>
      <c r="G9" s="28" t="s">
        <v>47</v>
      </c>
      <c r="H9" s="5" t="s">
        <v>8</v>
      </c>
      <c r="I9" s="5" t="s">
        <v>11</v>
      </c>
      <c r="J9" s="5">
        <f t="shared" si="0"/>
        <v>4</v>
      </c>
      <c r="K9" s="28" t="s">
        <v>57</v>
      </c>
      <c r="L9" s="13" t="s">
        <v>35</v>
      </c>
      <c r="M9" s="23">
        <v>46143</v>
      </c>
    </row>
    <row r="10" spans="1:13" ht="28.8">
      <c r="A10" s="19"/>
      <c r="B10" s="20"/>
      <c r="C10" s="19"/>
      <c r="D10" s="19"/>
      <c r="E10" s="19"/>
      <c r="F10" s="19"/>
      <c r="G10" s="28" t="s">
        <v>48</v>
      </c>
      <c r="H10" s="5" t="s">
        <v>8</v>
      </c>
      <c r="I10" s="5" t="s">
        <v>11</v>
      </c>
      <c r="J10" s="5">
        <f t="shared" si="0"/>
        <v>4</v>
      </c>
      <c r="K10" s="28" t="s">
        <v>58</v>
      </c>
      <c r="L10" s="28" t="s">
        <v>60</v>
      </c>
      <c r="M10" s="23">
        <v>46113</v>
      </c>
    </row>
    <row r="11" spans="1:13" ht="43.2">
      <c r="A11" s="19"/>
      <c r="B11" s="20"/>
      <c r="C11" s="19"/>
      <c r="D11" s="19"/>
      <c r="E11" s="19"/>
      <c r="F11" s="19"/>
      <c r="G11" s="28" t="s">
        <v>49</v>
      </c>
      <c r="H11" s="5" t="s">
        <v>8</v>
      </c>
      <c r="I11" s="5" t="s">
        <v>10</v>
      </c>
      <c r="J11" s="5">
        <f t="shared" si="0"/>
        <v>2</v>
      </c>
      <c r="K11" s="28" t="s">
        <v>59</v>
      </c>
      <c r="L11" s="28" t="s">
        <v>64</v>
      </c>
      <c r="M11" s="23">
        <v>46174</v>
      </c>
    </row>
  </sheetData>
  <mergeCells count="2">
    <mergeCell ref="C2:E2"/>
    <mergeCell ref="A4:B4"/>
  </mergeCells>
  <conditionalFormatting sqref="C5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I2:I11" xr:uid="{5BB845B3-E001-40BC-A744-AF55BFF16AA1}">
      <formula1>$A$5:$A$7</formula1>
    </dataValidation>
    <dataValidation type="list" allowBlank="1" showInputMessage="1" showErrorMessage="1" sqref="H2:H11" xr:uid="{92B08541-AE3A-4194-82D2-948AC8C2A262}">
      <formula1>$C$3:$E$3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64A-0C9A-4D87-A4E8-19E0C59337BE}">
  <dimension ref="A1:M20"/>
  <sheetViews>
    <sheetView topLeftCell="D4" zoomScale="88" zoomScaleNormal="85" workbookViewId="0">
      <selection sqref="A1:M11"/>
    </sheetView>
  </sheetViews>
  <sheetFormatPr baseColWidth="10" defaultColWidth="11" defaultRowHeight="14.4"/>
  <cols>
    <col min="1" max="1" width="9.5546875" customWidth="1"/>
    <col min="2" max="2" width="5.6640625" style="1" customWidth="1"/>
    <col min="3" max="5" width="8.109375" customWidth="1"/>
    <col min="6" max="6" width="5.5546875" customWidth="1"/>
    <col min="7" max="9" width="26.33203125" style="12" customWidth="1"/>
    <col min="10" max="10" width="13.77734375" style="11" bestFit="1" customWidth="1"/>
    <col min="11" max="11" width="80.5546875" style="11" customWidth="1"/>
    <col min="12" max="12" width="17.88671875" style="11" bestFit="1" customWidth="1"/>
    <col min="13" max="13" width="10.33203125" style="11" bestFit="1" customWidth="1"/>
  </cols>
  <sheetData>
    <row r="1" spans="1:13">
      <c r="G1" s="2" t="s">
        <v>0</v>
      </c>
      <c r="H1" s="2" t="s">
        <v>1</v>
      </c>
      <c r="I1" s="2" t="s">
        <v>2</v>
      </c>
      <c r="J1" s="3" t="s">
        <v>3</v>
      </c>
      <c r="K1" s="4" t="s">
        <v>4</v>
      </c>
      <c r="L1" s="4" t="s">
        <v>5</v>
      </c>
      <c r="M1" s="4" t="s">
        <v>6</v>
      </c>
    </row>
    <row r="2" spans="1:13" ht="43.2">
      <c r="C2" s="18" t="s">
        <v>1</v>
      </c>
      <c r="D2" s="18"/>
      <c r="E2" s="18"/>
      <c r="G2" s="13" t="s">
        <v>13</v>
      </c>
      <c r="H2" s="5" t="s">
        <v>7</v>
      </c>
      <c r="I2" s="5" t="s">
        <v>7</v>
      </c>
      <c r="J2" s="6">
        <f>INDEX($C$5:$E$7,MATCH(H2,$C$3:$E$3,0),MATCH(I2,$A$5:$A$7,0))</f>
        <v>10</v>
      </c>
      <c r="K2" s="13" t="s">
        <v>14</v>
      </c>
      <c r="L2" s="14" t="s">
        <v>15</v>
      </c>
      <c r="M2" s="7">
        <v>46106</v>
      </c>
    </row>
    <row r="3" spans="1:13" ht="57.6">
      <c r="C3" s="8" t="s">
        <v>8</v>
      </c>
      <c r="D3" s="8" t="s">
        <v>9</v>
      </c>
      <c r="E3" s="8" t="s">
        <v>7</v>
      </c>
      <c r="G3" s="13" t="s">
        <v>16</v>
      </c>
      <c r="H3" s="5" t="s">
        <v>9</v>
      </c>
      <c r="I3" s="5" t="s">
        <v>7</v>
      </c>
      <c r="J3" s="6">
        <f t="shared" ref="J3:J11" si="0">INDEX($C$5:$E$7,MATCH(H3,$C$3:$E$3,0),MATCH(I3,$A$5:$A$7,0))</f>
        <v>8</v>
      </c>
      <c r="K3" s="13" t="s">
        <v>17</v>
      </c>
      <c r="L3" s="14" t="s">
        <v>18</v>
      </c>
      <c r="M3" s="15" t="s">
        <v>27</v>
      </c>
    </row>
    <row r="4" spans="1:13" ht="43.2">
      <c r="A4" s="18" t="s">
        <v>2</v>
      </c>
      <c r="B4" s="18"/>
      <c r="C4" s="8">
        <v>1</v>
      </c>
      <c r="D4" s="8">
        <v>3</v>
      </c>
      <c r="E4" s="8">
        <v>5</v>
      </c>
      <c r="G4" s="13" t="s">
        <v>19</v>
      </c>
      <c r="H4" s="5" t="s">
        <v>9</v>
      </c>
      <c r="I4" s="5" t="s">
        <v>7</v>
      </c>
      <c r="J4" s="6">
        <f t="shared" si="0"/>
        <v>8</v>
      </c>
      <c r="K4" s="13" t="s">
        <v>20</v>
      </c>
      <c r="L4" s="14" t="s">
        <v>25</v>
      </c>
      <c r="M4" s="7">
        <v>46054</v>
      </c>
    </row>
    <row r="5" spans="1:13" ht="43.2">
      <c r="A5" s="9" t="s">
        <v>10</v>
      </c>
      <c r="B5" s="9">
        <v>1</v>
      </c>
      <c r="C5" s="10">
        <f>C4+$B$5</f>
        <v>2</v>
      </c>
      <c r="D5" s="10">
        <f t="shared" ref="D5:E5" si="1">D4+$B$5</f>
        <v>4</v>
      </c>
      <c r="E5" s="10">
        <f t="shared" si="1"/>
        <v>6</v>
      </c>
      <c r="G5" s="16" t="s">
        <v>21</v>
      </c>
      <c r="H5" s="5" t="s">
        <v>7</v>
      </c>
      <c r="I5" s="5" t="s">
        <v>11</v>
      </c>
      <c r="J5" s="6">
        <f t="shared" si="0"/>
        <v>8</v>
      </c>
      <c r="K5" s="13" t="s">
        <v>22</v>
      </c>
      <c r="L5" s="14" t="s">
        <v>26</v>
      </c>
      <c r="M5" s="7">
        <v>46023</v>
      </c>
    </row>
    <row r="6" spans="1:13" ht="43.2">
      <c r="A6" s="9" t="s">
        <v>11</v>
      </c>
      <c r="B6" s="9">
        <v>3</v>
      </c>
      <c r="C6" s="10">
        <f>C4+$B$6</f>
        <v>4</v>
      </c>
      <c r="D6" s="10">
        <f t="shared" ref="D6:E6" si="2">D4+$B$6</f>
        <v>6</v>
      </c>
      <c r="E6" s="10">
        <f t="shared" si="2"/>
        <v>8</v>
      </c>
      <c r="G6" s="13" t="s">
        <v>23</v>
      </c>
      <c r="H6" s="5" t="s">
        <v>9</v>
      </c>
      <c r="I6" s="5" t="s">
        <v>11</v>
      </c>
      <c r="J6" s="6">
        <f t="shared" si="0"/>
        <v>6</v>
      </c>
      <c r="K6" s="13" t="s">
        <v>24</v>
      </c>
      <c r="L6" s="14" t="s">
        <v>25</v>
      </c>
      <c r="M6" s="7">
        <v>46143</v>
      </c>
    </row>
    <row r="7" spans="1:13" ht="43.2">
      <c r="A7" s="9" t="s">
        <v>7</v>
      </c>
      <c r="B7" s="9">
        <v>5</v>
      </c>
      <c r="C7" s="10">
        <f>C4+$B$7</f>
        <v>6</v>
      </c>
      <c r="D7" s="10">
        <f t="shared" ref="D7:E7" si="3">D4+$B$7</f>
        <v>8</v>
      </c>
      <c r="E7" s="10">
        <f t="shared" si="3"/>
        <v>10</v>
      </c>
      <c r="G7" s="13" t="s">
        <v>28</v>
      </c>
      <c r="H7" s="5" t="s">
        <v>7</v>
      </c>
      <c r="I7" s="5" t="s">
        <v>11</v>
      </c>
      <c r="J7" s="6">
        <f t="shared" si="0"/>
        <v>8</v>
      </c>
      <c r="K7" s="13" t="s">
        <v>29</v>
      </c>
      <c r="L7" s="6" t="s">
        <v>12</v>
      </c>
      <c r="M7" s="7">
        <v>46174</v>
      </c>
    </row>
    <row r="8" spans="1:13" ht="43.2">
      <c r="G8" s="13" t="s">
        <v>30</v>
      </c>
      <c r="H8" s="5" t="s">
        <v>8</v>
      </c>
      <c r="I8" s="5" t="s">
        <v>7</v>
      </c>
      <c r="J8" s="6">
        <f t="shared" si="0"/>
        <v>6</v>
      </c>
      <c r="K8" s="13" t="s">
        <v>31</v>
      </c>
      <c r="L8" s="14" t="s">
        <v>32</v>
      </c>
      <c r="M8" s="7">
        <v>46082</v>
      </c>
    </row>
    <row r="9" spans="1:13" ht="43.2">
      <c r="G9" s="13" t="s">
        <v>33</v>
      </c>
      <c r="H9" s="5" t="s">
        <v>9</v>
      </c>
      <c r="I9" s="5" t="s">
        <v>7</v>
      </c>
      <c r="J9" s="6">
        <f t="shared" si="0"/>
        <v>8</v>
      </c>
      <c r="K9" s="13" t="s">
        <v>34</v>
      </c>
      <c r="L9" s="14" t="s">
        <v>35</v>
      </c>
      <c r="M9" s="7">
        <v>46143</v>
      </c>
    </row>
    <row r="10" spans="1:13" ht="43.2">
      <c r="G10" s="13" t="s">
        <v>36</v>
      </c>
      <c r="H10" s="5" t="s">
        <v>7</v>
      </c>
      <c r="I10" s="5" t="s">
        <v>11</v>
      </c>
      <c r="J10" s="6">
        <f t="shared" si="0"/>
        <v>8</v>
      </c>
      <c r="K10" s="13" t="s">
        <v>37</v>
      </c>
      <c r="L10" s="14" t="s">
        <v>25</v>
      </c>
      <c r="M10" s="7">
        <v>46113</v>
      </c>
    </row>
    <row r="11" spans="1:13" ht="57.6">
      <c r="G11" s="13" t="s">
        <v>38</v>
      </c>
      <c r="H11" s="5" t="s">
        <v>8</v>
      </c>
      <c r="I11" s="5" t="s">
        <v>7</v>
      </c>
      <c r="J11" s="6">
        <f t="shared" si="0"/>
        <v>6</v>
      </c>
      <c r="K11" s="17" t="s">
        <v>39</v>
      </c>
      <c r="L11" s="14" t="s">
        <v>15</v>
      </c>
      <c r="M11" s="7">
        <v>46174</v>
      </c>
    </row>
    <row r="12" spans="1:13">
      <c r="G12"/>
      <c r="H12"/>
      <c r="I12"/>
      <c r="J12"/>
      <c r="K12"/>
      <c r="L12"/>
      <c r="M12"/>
    </row>
    <row r="13" spans="1:13">
      <c r="G13"/>
      <c r="H13"/>
      <c r="I13"/>
      <c r="J13"/>
      <c r="K13"/>
      <c r="L13"/>
      <c r="M13"/>
    </row>
    <row r="14" spans="1:13">
      <c r="G14"/>
      <c r="H14"/>
      <c r="I14"/>
      <c r="J14"/>
      <c r="K14"/>
      <c r="L14"/>
      <c r="M14"/>
    </row>
    <row r="15" spans="1:13">
      <c r="G15"/>
      <c r="H15"/>
      <c r="I15"/>
      <c r="J15"/>
      <c r="K15"/>
      <c r="L15"/>
      <c r="M15"/>
    </row>
    <row r="16" spans="1:13">
      <c r="G16"/>
      <c r="H16"/>
      <c r="I16"/>
      <c r="J16"/>
      <c r="K16"/>
      <c r="L16"/>
      <c r="M16"/>
    </row>
    <row r="17" spans="7:13">
      <c r="G17"/>
      <c r="H17"/>
      <c r="I17"/>
      <c r="J17"/>
      <c r="K17"/>
      <c r="L17"/>
      <c r="M17"/>
    </row>
    <row r="18" spans="7:13">
      <c r="G18"/>
      <c r="H18"/>
      <c r="I18"/>
      <c r="J18"/>
      <c r="K18"/>
      <c r="L18"/>
      <c r="M18"/>
    </row>
    <row r="19" spans="7:13">
      <c r="G19"/>
      <c r="H19"/>
      <c r="I19"/>
      <c r="J19"/>
      <c r="K19"/>
      <c r="L19"/>
      <c r="M19"/>
    </row>
    <row r="20" spans="7:13">
      <c r="G20"/>
      <c r="H20"/>
      <c r="I20"/>
      <c r="J20"/>
      <c r="K20"/>
      <c r="L20"/>
      <c r="M20"/>
    </row>
  </sheetData>
  <autoFilter ref="G1:M9" xr:uid="{00000000-0009-0000-0000-000003000000}"/>
  <mergeCells count="2">
    <mergeCell ref="C2:E2"/>
    <mergeCell ref="A4:B4"/>
  </mergeCells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H2:H11" xr:uid="{EAA2927D-7083-486E-91F8-AA91D8B7A2A2}">
      <formula1>$C$3:$E$3</formula1>
    </dataValidation>
    <dataValidation type="list" allowBlank="1" showInputMessage="1" showErrorMessage="1" sqref="I2:I11" xr:uid="{80B23CD7-1D85-4A81-967C-3547CCE6B70D}">
      <formula1>$A$5:$A$7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37BC-C20B-469B-A6E8-433FD899DA59}">
  <dimension ref="A1:M11"/>
  <sheetViews>
    <sheetView workbookViewId="0">
      <selection activeCell="M9" sqref="M9"/>
    </sheetView>
  </sheetViews>
  <sheetFormatPr baseColWidth="10" defaultRowHeight="14.4"/>
  <cols>
    <col min="7" max="7" width="38.44140625" customWidth="1"/>
    <col min="10" max="10" width="9.33203125" bestFit="1" customWidth="1"/>
    <col min="11" max="11" width="43.109375" customWidth="1"/>
    <col min="12" max="12" width="12.5546875" customWidth="1"/>
  </cols>
  <sheetData>
    <row r="1" spans="1:13" ht="28.8">
      <c r="A1" s="19"/>
      <c r="B1" s="20"/>
      <c r="C1" s="19"/>
      <c r="D1" s="19"/>
      <c r="E1" s="19"/>
      <c r="F1" s="19"/>
      <c r="G1" s="2" t="s">
        <v>0</v>
      </c>
      <c r="H1" s="2" t="s">
        <v>1</v>
      </c>
      <c r="I1" s="2" t="s">
        <v>2</v>
      </c>
      <c r="J1" s="2" t="s">
        <v>3</v>
      </c>
      <c r="K1" s="21" t="s">
        <v>4</v>
      </c>
      <c r="L1" s="21" t="s">
        <v>5</v>
      </c>
      <c r="M1" s="21" t="s">
        <v>6</v>
      </c>
    </row>
    <row r="2" spans="1:13" ht="43.2">
      <c r="A2" s="19"/>
      <c r="B2" s="20"/>
      <c r="C2" s="22" t="s">
        <v>1</v>
      </c>
      <c r="D2" s="22"/>
      <c r="E2" s="22"/>
      <c r="F2" s="19"/>
      <c r="G2" s="28" t="s">
        <v>65</v>
      </c>
      <c r="H2" s="5" t="s">
        <v>9</v>
      </c>
      <c r="I2" s="5" t="s">
        <v>7</v>
      </c>
      <c r="J2" s="5">
        <f>INDEX($C$5:$E$7,MATCH(H2,$C$3:$E$3,0),MATCH(I2,$A$5:$A$7,0))</f>
        <v>8</v>
      </c>
      <c r="K2" s="28" t="s">
        <v>72</v>
      </c>
      <c r="L2" s="28" t="s">
        <v>12</v>
      </c>
      <c r="M2" s="23">
        <v>46023</v>
      </c>
    </row>
    <row r="3" spans="1:13" ht="43.2">
      <c r="A3" s="19"/>
      <c r="B3" s="20"/>
      <c r="C3" s="24" t="s">
        <v>8</v>
      </c>
      <c r="D3" s="24" t="s">
        <v>9</v>
      </c>
      <c r="E3" s="24" t="s">
        <v>7</v>
      </c>
      <c r="F3" s="19"/>
      <c r="G3" s="28" t="s">
        <v>66</v>
      </c>
      <c r="H3" s="5" t="s">
        <v>8</v>
      </c>
      <c r="I3" s="5" t="s">
        <v>7</v>
      </c>
      <c r="J3" s="5">
        <f t="shared" ref="J3:J8" si="0">INDEX($C$5:$E$7,MATCH(H3,$C$3:$E$3,0),MATCH(I3,$A$5:$A$7,0))</f>
        <v>6</v>
      </c>
      <c r="K3" s="28" t="s">
        <v>73</v>
      </c>
      <c r="L3" s="28" t="s">
        <v>79</v>
      </c>
      <c r="M3" s="25">
        <v>46054</v>
      </c>
    </row>
    <row r="4" spans="1:13" ht="43.2">
      <c r="A4" s="22" t="s">
        <v>2</v>
      </c>
      <c r="B4" s="22"/>
      <c r="C4" s="24">
        <v>1</v>
      </c>
      <c r="D4" s="24">
        <v>3</v>
      </c>
      <c r="E4" s="24">
        <v>5</v>
      </c>
      <c r="F4" s="19"/>
      <c r="G4" s="28" t="s">
        <v>67</v>
      </c>
      <c r="H4" s="5" t="s">
        <v>8</v>
      </c>
      <c r="I4" s="5" t="s">
        <v>11</v>
      </c>
      <c r="J4" s="5">
        <f t="shared" si="0"/>
        <v>4</v>
      </c>
      <c r="K4" s="28" t="s">
        <v>74</v>
      </c>
      <c r="L4" s="28" t="s">
        <v>80</v>
      </c>
      <c r="M4" s="23">
        <v>46143</v>
      </c>
    </row>
    <row r="5" spans="1:13" ht="28.8">
      <c r="A5" s="26" t="s">
        <v>10</v>
      </c>
      <c r="B5" s="26">
        <v>1</v>
      </c>
      <c r="C5" s="27">
        <f>C4+$B$5</f>
        <v>2</v>
      </c>
      <c r="D5" s="27">
        <f t="shared" ref="D5:E5" si="1">D4+$B$5</f>
        <v>4</v>
      </c>
      <c r="E5" s="27">
        <f t="shared" si="1"/>
        <v>6</v>
      </c>
      <c r="F5" s="19"/>
      <c r="G5" s="28" t="s">
        <v>68</v>
      </c>
      <c r="H5" s="5" t="s">
        <v>8</v>
      </c>
      <c r="I5" s="5" t="s">
        <v>11</v>
      </c>
      <c r="J5" s="5">
        <f t="shared" si="0"/>
        <v>4</v>
      </c>
      <c r="K5" s="28" t="s">
        <v>75</v>
      </c>
      <c r="L5" s="28" t="s">
        <v>12</v>
      </c>
      <c r="M5" s="23">
        <v>46023</v>
      </c>
    </row>
    <row r="6" spans="1:13" ht="43.2">
      <c r="A6" s="26" t="s">
        <v>11</v>
      </c>
      <c r="B6" s="26">
        <v>3</v>
      </c>
      <c r="C6" s="27">
        <f>C4+$B$6</f>
        <v>4</v>
      </c>
      <c r="D6" s="27">
        <f t="shared" ref="D6:E6" si="2">D4+$B$6</f>
        <v>6</v>
      </c>
      <c r="E6" s="27">
        <f t="shared" si="2"/>
        <v>8</v>
      </c>
      <c r="F6" s="19"/>
      <c r="G6" s="28" t="s">
        <v>69</v>
      </c>
      <c r="H6" s="5" t="s">
        <v>8</v>
      </c>
      <c r="I6" s="5" t="s">
        <v>11</v>
      </c>
      <c r="J6" s="5">
        <f t="shared" si="0"/>
        <v>4</v>
      </c>
      <c r="K6" s="28" t="s">
        <v>76</v>
      </c>
      <c r="L6" s="28" t="s">
        <v>81</v>
      </c>
      <c r="M6" s="23">
        <v>46054</v>
      </c>
    </row>
    <row r="7" spans="1:13" ht="43.2">
      <c r="A7" s="26" t="s">
        <v>7</v>
      </c>
      <c r="B7" s="26">
        <v>5</v>
      </c>
      <c r="C7" s="27">
        <f>C4+$B$7</f>
        <v>6</v>
      </c>
      <c r="D7" s="27">
        <f t="shared" ref="D7:E7" si="3">D4+$B$7</f>
        <v>8</v>
      </c>
      <c r="E7" s="27">
        <f t="shared" si="3"/>
        <v>10</v>
      </c>
      <c r="F7" s="19"/>
      <c r="G7" s="28" t="s">
        <v>70</v>
      </c>
      <c r="H7" s="5" t="s">
        <v>9</v>
      </c>
      <c r="I7" s="5" t="s">
        <v>11</v>
      </c>
      <c r="J7" s="5">
        <f t="shared" si="0"/>
        <v>6</v>
      </c>
      <c r="K7" s="28" t="s">
        <v>77</v>
      </c>
      <c r="L7" s="28" t="s">
        <v>12</v>
      </c>
      <c r="M7" s="23">
        <v>46082</v>
      </c>
    </row>
    <row r="8" spans="1:13" ht="43.2">
      <c r="A8" s="19"/>
      <c r="B8" s="20"/>
      <c r="C8" s="19"/>
      <c r="D8" s="19"/>
      <c r="E8" s="19"/>
      <c r="F8" s="19"/>
      <c r="G8" s="28" t="s">
        <v>71</v>
      </c>
      <c r="H8" s="5" t="s">
        <v>8</v>
      </c>
      <c r="I8" s="5" t="s">
        <v>7</v>
      </c>
      <c r="J8" s="5">
        <f t="shared" si="0"/>
        <v>6</v>
      </c>
      <c r="K8" s="28" t="s">
        <v>78</v>
      </c>
      <c r="L8" s="28" t="s">
        <v>12</v>
      </c>
      <c r="M8" s="23">
        <v>46023</v>
      </c>
    </row>
    <row r="9" spans="1:13">
      <c r="A9" s="19"/>
      <c r="B9" s="20"/>
      <c r="C9" s="19"/>
      <c r="D9" s="19"/>
      <c r="E9" s="19"/>
      <c r="F9" s="19"/>
    </row>
    <row r="10" spans="1:13">
      <c r="A10" s="19"/>
      <c r="B10" s="20"/>
      <c r="C10" s="19"/>
      <c r="D10" s="19"/>
      <c r="E10" s="19"/>
      <c r="F10" s="19"/>
    </row>
    <row r="11" spans="1:13">
      <c r="A11" s="19"/>
      <c r="B11" s="20"/>
      <c r="C11" s="19"/>
      <c r="D11" s="19"/>
      <c r="E11" s="19"/>
      <c r="F11" s="19"/>
    </row>
  </sheetData>
  <mergeCells count="2">
    <mergeCell ref="C2:E2"/>
    <mergeCell ref="A4:B4"/>
  </mergeCells>
  <conditionalFormatting sqref="C5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H2:H8" xr:uid="{3D6EC52C-1685-485D-A2BB-8AAFA59C531E}">
      <formula1>$C$3:$E$3</formula1>
    </dataValidation>
    <dataValidation type="list" allowBlank="1" showInputMessage="1" showErrorMessage="1" sqref="I2:I8" xr:uid="{F900442B-5515-4786-B1C0-A49DB13A7E86}">
      <formula1>$A$5:$A$7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0F6B-FAB3-40A7-ADCB-FE93EC8344A4}">
  <dimension ref="A1:M11"/>
  <sheetViews>
    <sheetView tabSelected="1" topLeftCell="C1" workbookViewId="0">
      <selection activeCell="G12" sqref="G12"/>
    </sheetView>
  </sheetViews>
  <sheetFormatPr baseColWidth="10" defaultRowHeight="14.4"/>
  <cols>
    <col min="7" max="7" width="46.109375" customWidth="1"/>
    <col min="11" max="11" width="47.77734375" customWidth="1"/>
    <col min="12" max="12" width="13.88671875" customWidth="1"/>
  </cols>
  <sheetData>
    <row r="1" spans="1:13" ht="28.8">
      <c r="A1" s="19"/>
      <c r="B1" s="20"/>
      <c r="C1" s="19"/>
      <c r="D1" s="19"/>
      <c r="E1" s="19"/>
      <c r="F1" s="19"/>
      <c r="G1" s="2" t="s">
        <v>0</v>
      </c>
      <c r="H1" s="2" t="s">
        <v>1</v>
      </c>
      <c r="I1" s="2" t="s">
        <v>2</v>
      </c>
      <c r="J1" s="2" t="s">
        <v>3</v>
      </c>
      <c r="K1" s="21" t="s">
        <v>4</v>
      </c>
      <c r="L1" s="21" t="s">
        <v>5</v>
      </c>
      <c r="M1" s="21" t="s">
        <v>6</v>
      </c>
    </row>
    <row r="2" spans="1:13" ht="28.8">
      <c r="A2" s="19"/>
      <c r="B2" s="20"/>
      <c r="C2" s="22" t="s">
        <v>1</v>
      </c>
      <c r="D2" s="22"/>
      <c r="E2" s="22"/>
      <c r="F2" s="19"/>
      <c r="G2" s="28" t="s">
        <v>82</v>
      </c>
      <c r="H2" s="5" t="s">
        <v>9</v>
      </c>
      <c r="I2" s="5" t="s">
        <v>7</v>
      </c>
      <c r="J2" s="5">
        <f>INDEX($C$5:$E$7,MATCH(H2,$C$3:$E$3,0),MATCH(I2,$A$5:$A$7,0))</f>
        <v>8</v>
      </c>
      <c r="K2" s="28" t="s">
        <v>89</v>
      </c>
      <c r="L2" s="13" t="s">
        <v>15</v>
      </c>
      <c r="M2" s="23">
        <v>46106</v>
      </c>
    </row>
    <row r="3" spans="1:13" ht="28.8">
      <c r="A3" s="19"/>
      <c r="B3" s="20"/>
      <c r="C3" s="24" t="s">
        <v>8</v>
      </c>
      <c r="D3" s="24" t="s">
        <v>9</v>
      </c>
      <c r="E3" s="24" t="s">
        <v>7</v>
      </c>
      <c r="F3" s="19"/>
      <c r="G3" s="28" t="s">
        <v>83</v>
      </c>
      <c r="H3" s="5" t="s">
        <v>9</v>
      </c>
      <c r="I3" s="5" t="s">
        <v>11</v>
      </c>
      <c r="J3" s="5">
        <f t="shared" ref="J3:J8" si="0">INDEX($C$5:$E$7,MATCH(H3,$C$3:$E$3,0),MATCH(I3,$A$5:$A$7,0))</f>
        <v>6</v>
      </c>
      <c r="K3" s="28" t="s">
        <v>90</v>
      </c>
      <c r="L3" s="13" t="s">
        <v>18</v>
      </c>
      <c r="M3" s="25" t="s">
        <v>27</v>
      </c>
    </row>
    <row r="4" spans="1:13" ht="28.8">
      <c r="A4" s="22" t="s">
        <v>2</v>
      </c>
      <c r="B4" s="22"/>
      <c r="C4" s="24">
        <v>1</v>
      </c>
      <c r="D4" s="24">
        <v>3</v>
      </c>
      <c r="E4" s="24">
        <v>5</v>
      </c>
      <c r="F4" s="19"/>
      <c r="G4" s="28" t="s">
        <v>84</v>
      </c>
      <c r="H4" s="5" t="s">
        <v>8</v>
      </c>
      <c r="I4" s="5" t="s">
        <v>11</v>
      </c>
      <c r="J4" s="5">
        <f t="shared" si="0"/>
        <v>4</v>
      </c>
      <c r="K4" s="28" t="s">
        <v>91</v>
      </c>
      <c r="L4" s="13" t="s">
        <v>25</v>
      </c>
      <c r="M4" s="23">
        <v>46054</v>
      </c>
    </row>
    <row r="5" spans="1:13" ht="28.8">
      <c r="A5" s="26" t="s">
        <v>10</v>
      </c>
      <c r="B5" s="26">
        <v>1</v>
      </c>
      <c r="C5" s="27">
        <f>C4+$B$5</f>
        <v>2</v>
      </c>
      <c r="D5" s="27">
        <f t="shared" ref="D5:E5" si="1">D4+$B$5</f>
        <v>4</v>
      </c>
      <c r="E5" s="27">
        <f t="shared" si="1"/>
        <v>6</v>
      </c>
      <c r="F5" s="19"/>
      <c r="G5" s="28" t="s">
        <v>85</v>
      </c>
      <c r="H5" s="5" t="s">
        <v>9</v>
      </c>
      <c r="I5" s="5" t="s">
        <v>7</v>
      </c>
      <c r="J5" s="5">
        <f t="shared" si="0"/>
        <v>8</v>
      </c>
      <c r="K5" s="28" t="s">
        <v>92</v>
      </c>
      <c r="L5" s="13" t="s">
        <v>26</v>
      </c>
      <c r="M5" s="23">
        <v>46023</v>
      </c>
    </row>
    <row r="6" spans="1:13" ht="28.8">
      <c r="A6" s="26" t="s">
        <v>11</v>
      </c>
      <c r="B6" s="26">
        <v>3</v>
      </c>
      <c r="C6" s="27">
        <f>C4+$B$6</f>
        <v>4</v>
      </c>
      <c r="D6" s="27">
        <f t="shared" ref="D6:E6" si="2">D4+$B$6</f>
        <v>6</v>
      </c>
      <c r="E6" s="27">
        <f t="shared" si="2"/>
        <v>8</v>
      </c>
      <c r="F6" s="19"/>
      <c r="G6" s="28" t="s">
        <v>86</v>
      </c>
      <c r="H6" s="5" t="s">
        <v>8</v>
      </c>
      <c r="I6" s="5" t="s">
        <v>10</v>
      </c>
      <c r="J6" s="5">
        <f t="shared" si="0"/>
        <v>2</v>
      </c>
      <c r="K6" s="28" t="s">
        <v>93</v>
      </c>
      <c r="L6" s="13" t="s">
        <v>25</v>
      </c>
      <c r="M6" s="23">
        <v>46143</v>
      </c>
    </row>
    <row r="7" spans="1:13" ht="28.8">
      <c r="A7" s="26" t="s">
        <v>7</v>
      </c>
      <c r="B7" s="26">
        <v>5</v>
      </c>
      <c r="C7" s="27">
        <f>C4+$B$7</f>
        <v>6</v>
      </c>
      <c r="D7" s="27">
        <f t="shared" ref="D7:E7" si="3">D4+$B$7</f>
        <v>8</v>
      </c>
      <c r="E7" s="27">
        <f t="shared" si="3"/>
        <v>10</v>
      </c>
      <c r="F7" s="19"/>
      <c r="G7" s="28" t="s">
        <v>87</v>
      </c>
      <c r="H7" s="5" t="s">
        <v>9</v>
      </c>
      <c r="I7" s="5" t="s">
        <v>11</v>
      </c>
      <c r="J7" s="5">
        <f t="shared" si="0"/>
        <v>6</v>
      </c>
      <c r="K7" s="28" t="s">
        <v>94</v>
      </c>
      <c r="L7" s="5" t="s">
        <v>12</v>
      </c>
      <c r="M7" s="23">
        <v>46174</v>
      </c>
    </row>
    <row r="8" spans="1:13" ht="28.8">
      <c r="A8" s="19"/>
      <c r="B8" s="20"/>
      <c r="C8" s="19"/>
      <c r="D8" s="19"/>
      <c r="E8" s="19"/>
      <c r="F8" s="19"/>
      <c r="G8" s="28" t="s">
        <v>88</v>
      </c>
      <c r="H8" s="5" t="s">
        <v>8</v>
      </c>
      <c r="I8" s="5" t="s">
        <v>11</v>
      </c>
      <c r="J8" s="5">
        <f t="shared" si="0"/>
        <v>4</v>
      </c>
      <c r="K8" s="28" t="s">
        <v>95</v>
      </c>
      <c r="L8" s="13" t="s">
        <v>32</v>
      </c>
      <c r="M8" s="23">
        <v>46082</v>
      </c>
    </row>
    <row r="9" spans="1:13">
      <c r="A9" s="19"/>
      <c r="B9" s="20"/>
      <c r="C9" s="19"/>
      <c r="D9" s="19"/>
      <c r="E9" s="19"/>
      <c r="F9" s="19"/>
      <c r="G9" s="12"/>
    </row>
    <row r="10" spans="1:13">
      <c r="A10" s="19"/>
      <c r="B10" s="20"/>
      <c r="C10" s="19"/>
      <c r="D10" s="19"/>
      <c r="E10" s="19"/>
      <c r="F10" s="19"/>
    </row>
    <row r="11" spans="1:13">
      <c r="A11" s="19"/>
      <c r="B11" s="20"/>
      <c r="C11" s="19"/>
      <c r="D11" s="19"/>
      <c r="E11" s="19"/>
      <c r="F11" s="19"/>
    </row>
  </sheetData>
  <mergeCells count="2">
    <mergeCell ref="C2:E2"/>
    <mergeCell ref="A4:B4"/>
  </mergeCells>
  <conditionalFormatting sqref="C5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H2:H8" xr:uid="{630511D2-5CCA-4E14-90DC-96B06D3741B5}">
      <formula1>$C$3:$E$3</formula1>
    </dataValidation>
    <dataValidation type="list" allowBlank="1" showInputMessage="1" showErrorMessage="1" sqref="I2:I8" xr:uid="{FFB80E10-4EC3-4FBA-BF78-60F81D787D8F}">
      <formula1>$A$5:$A$7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Riesgos  Mercado</vt:lpstr>
      <vt:lpstr>Riesgos tecnicos </vt:lpstr>
      <vt:lpstr>Riesgos legal </vt:lpstr>
      <vt:lpstr>Riesgos Financieros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Juan Melchor Raul Antonio</dc:creator>
  <cp:lastModifiedBy>Sanchez Lazcano Ingrid Rubi</cp:lastModifiedBy>
  <dcterms:created xsi:type="dcterms:W3CDTF">2025-11-13T01:08:11Z</dcterms:created>
  <dcterms:modified xsi:type="dcterms:W3CDTF">2025-11-14T14:29:42Z</dcterms:modified>
</cp:coreProperties>
</file>